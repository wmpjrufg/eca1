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trega 1" sheetId="1" state="visible" r:id="rId1"/>
    <sheet name="Comentários da apresentaçã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0" fontId="3" fillId="0" borderId="1" applyAlignment="1" pivotButton="0" quotePrefix="0" xfId="0">
      <alignment horizontal="center"/>
    </xf>
    <xf numFmtId="0" fontId="3" fillId="0" borderId="0" applyAlignment="1" pivotButton="0" quotePrefix="0" xfId="0">
      <alignment horizontal="center"/>
    </xf>
    <xf numFmtId="0" fontId="0" fillId="0" borderId="1" pivotButton="0" quotePrefix="0" xfId="0"/>
    <xf numFmtId="9" fontId="0" fillId="3" borderId="1" applyAlignment="1" pivotButton="0" quotePrefix="0" xfId="0">
      <alignment horizontal="center"/>
    </xf>
    <xf numFmtId="2" fontId="3" fillId="0" borderId="1" applyAlignment="1" pivotButton="0" quotePrefix="0" xfId="0">
      <alignment horizontal="center"/>
    </xf>
    <xf numFmtId="0" fontId="0" fillId="3" borderId="1" pivotButton="0" quotePrefix="0" xfId="0"/>
    <xf numFmtId="0" fontId="0" fillId="0" borderId="0" applyAlignment="1" pivotButton="0" quotePrefix="0" xfId="0">
      <alignment wrapText="1"/>
    </xf>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4" customWidth="1" min="2" max="2"/>
    <col width="8"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2" customWidth="1" min="12" max="12"/>
    <col width="45" customWidth="1" min="13" max="13"/>
  </cols>
  <sheetData>
    <row r="1">
      <c r="A1" s="1" t="inlineStr">
        <is>
          <t>Avaliação — Entrega 1: Pré-dimensionamento, vãos efetivos e cargas nas lajes</t>
        </is>
      </c>
    </row>
    <row r="2">
      <c r="A2" t="inlineStr">
        <is>
          <t>Preencha as células amarelas com 100% (atendido), 50% (parcial) ou 0% (ausente/incorreto). A nota é calculada automaticamente.</t>
        </is>
      </c>
    </row>
    <row r="4" ht="48" customHeight="1">
      <c r="A4" s="2" t="inlineStr">
        <is>
          <t>Matrícula</t>
        </is>
      </c>
      <c r="B4" s="2" t="inlineStr">
        <is>
          <t>Nome</t>
        </is>
      </c>
      <c r="C4" s="2" t="inlineStr">
        <is>
          <t>Grupo</t>
        </is>
      </c>
      <c r="D4" s="2" t="inlineStr">
        <is>
          <t>Identificação e organização</t>
        </is>
      </c>
      <c r="E4" s="2" t="inlineStr">
        <is>
          <t>Apresentação da memória de cálculo</t>
        </is>
      </c>
      <c r="F4" s="2" t="inlineStr">
        <is>
          <t>Arquivos entregues</t>
        </is>
      </c>
      <c r="G4" s="2" t="inlineStr">
        <is>
          <t>Pré-dimensionamento das vigas</t>
        </is>
      </c>
      <c r="H4" s="2" t="inlineStr">
        <is>
          <t>Pré-dimensionamento das lajes</t>
        </is>
      </c>
      <c r="I4" s="2" t="inlineStr">
        <is>
          <t>Pré-dimensionamento dos pilares</t>
        </is>
      </c>
      <c r="J4" s="2" t="inlineStr">
        <is>
          <t>Vãos efetivos das lajes</t>
        </is>
      </c>
      <c r="K4" s="2" t="inlineStr">
        <is>
          <t>Cargas nas lajes</t>
        </is>
      </c>
      <c r="L4" s="2" t="inlineStr">
        <is>
          <t>Nota (0–10)</t>
        </is>
      </c>
      <c r="M4" s="2" t="inlineStr">
        <is>
          <t>Observações</t>
        </is>
      </c>
    </row>
    <row r="5">
      <c r="B5" s="3" t="inlineStr">
        <is>
          <t>Pontuação máxima</t>
        </is>
      </c>
      <c r="D5" s="4" t="n">
        <v>1</v>
      </c>
      <c r="E5" s="4" t="n">
        <v>1</v>
      </c>
      <c r="F5" s="4" t="n">
        <v>1</v>
      </c>
      <c r="G5" s="4" t="n">
        <v>1.5</v>
      </c>
      <c r="H5" s="4" t="n">
        <v>1.5</v>
      </c>
      <c r="I5" s="4" t="n">
        <v>1.5</v>
      </c>
      <c r="J5" s="4" t="n">
        <v>1</v>
      </c>
      <c r="K5" s="4" t="n">
        <v>1.5</v>
      </c>
      <c r="L5" s="5">
        <f>SUM(D5:K5)</f>
        <v/>
      </c>
    </row>
    <row r="6">
      <c r="A6" s="6" t="inlineStr">
        <is>
          <t>201903099</t>
        </is>
      </c>
      <c r="B6" s="6" t="inlineStr">
        <is>
          <t>THIEELY RIBEIRO LIMA DA SILVA</t>
        </is>
      </c>
      <c r="C6" s="6" t="inlineStr">
        <is>
          <t>G1</t>
        </is>
      </c>
      <c r="D6" s="7" t="n">
        <v>1</v>
      </c>
      <c r="E6" s="7" t="n">
        <v>0.5</v>
      </c>
      <c r="F6" s="7" t="n">
        <v>0.5</v>
      </c>
      <c r="G6" s="7" t="n">
        <v>0.5</v>
      </c>
      <c r="H6" s="7" t="n">
        <v>1</v>
      </c>
      <c r="I6" s="7" t="n">
        <v>0.5</v>
      </c>
      <c r="J6" s="7" t="n">
        <v>1</v>
      </c>
      <c r="K6" s="7" t="n">
        <v>1</v>
      </c>
      <c r="L6" s="8">
        <f>IF(COUNT(D6:K6)=0,"",SUMPRODUCT(D6:K6,$D$5:$K$5))</f>
        <v/>
      </c>
      <c r="M6" s="9" t="inlineStr">
        <is>
          <t>Apresentação: faltou exemplo numérico no corpo do memorial. Arquivos: tabelas sem fórmulas e prancha incompleta. Pilares: carga ×6 (correto ×5) e cargas das vigas laterais ausentes. Vigas: não soube responder.</t>
        </is>
      </c>
    </row>
    <row r="7">
      <c r="A7" s="6" t="inlineStr">
        <is>
          <t>201903066</t>
        </is>
      </c>
      <c r="B7" s="6" t="inlineStr">
        <is>
          <t>GABRIELA ALVES DE LIMA</t>
        </is>
      </c>
      <c r="C7" s="6" t="inlineStr">
        <is>
          <t>G1</t>
        </is>
      </c>
      <c r="D7" s="7" t="n">
        <v>1</v>
      </c>
      <c r="E7" s="7" t="n">
        <v>0.5</v>
      </c>
      <c r="F7" s="7" t="n">
        <v>0.5</v>
      </c>
      <c r="G7" s="7" t="n">
        <v>0.5</v>
      </c>
      <c r="H7" s="7" t="n">
        <v>1</v>
      </c>
      <c r="I7" s="7" t="n">
        <v>0.5</v>
      </c>
      <c r="J7" s="7" t="n">
        <v>1</v>
      </c>
      <c r="K7" s="7" t="n">
        <v>1</v>
      </c>
      <c r="L7" s="8">
        <f>IF(COUNT(D7:K7)=0,"",SUMPRODUCT(D7:K7,$D$5:$K$5))</f>
        <v/>
      </c>
      <c r="M7" s="9" t="inlineStr">
        <is>
          <t>Apresentação: faltou exemplo numérico no corpo do memorial. Arquivos: tabelas sem fórmulas e prancha incompleta. Pilares: carga ×6 (correto ×5) e cargas das vigas laterais ausentes. Vigas: não soube responder.</t>
        </is>
      </c>
    </row>
    <row r="8">
      <c r="A8" s="6" t="inlineStr">
        <is>
          <t>201805190</t>
        </is>
      </c>
      <c r="B8" s="6" t="inlineStr">
        <is>
          <t>ESTEFANIE PRISCILA GUIMARAES</t>
        </is>
      </c>
      <c r="C8" s="6" t="inlineStr">
        <is>
          <t>G2</t>
        </is>
      </c>
      <c r="D8" s="7" t="n">
        <v>1</v>
      </c>
      <c r="E8" s="7" t="n">
        <v>1</v>
      </c>
      <c r="F8" s="7" t="n">
        <v>1</v>
      </c>
      <c r="G8" s="7" t="n">
        <v>0.5</v>
      </c>
      <c r="H8" s="7" t="n">
        <v>1</v>
      </c>
      <c r="I8" s="7" t="n">
        <v>0.5</v>
      </c>
      <c r="J8" s="7" t="n">
        <v>0</v>
      </c>
      <c r="K8" s="7" t="n">
        <v>1</v>
      </c>
      <c r="L8" s="8">
        <f>IF(COUNT(D8:K8)=0,"",SUMPRODUCT(D8:K8,$D$5:$K$5))</f>
        <v/>
      </c>
      <c r="M8" s="9" t="inlineStr">
        <is>
          <t>Vãos efetivos: lx e ly trocados. Pilares: carga ×6 (correto ×5); não soube a classificação dos pilares. Vigas: não soube a classificação.</t>
        </is>
      </c>
    </row>
    <row r="9">
      <c r="A9" s="6" t="inlineStr">
        <is>
          <t>202301292</t>
        </is>
      </c>
      <c r="B9" s="6" t="inlineStr">
        <is>
          <t>JOSE NETO GOMES ROSA</t>
        </is>
      </c>
      <c r="C9" s="6" t="inlineStr">
        <is>
          <t>G2</t>
        </is>
      </c>
      <c r="D9" s="7" t="n">
        <v>1</v>
      </c>
      <c r="E9" s="7" t="n">
        <v>1</v>
      </c>
      <c r="F9" s="7" t="n">
        <v>1</v>
      </c>
      <c r="G9" s="7" t="n">
        <v>0.5</v>
      </c>
      <c r="H9" s="7" t="n">
        <v>1</v>
      </c>
      <c r="I9" s="7" t="n">
        <v>0.5</v>
      </c>
      <c r="J9" s="7" t="n">
        <v>0</v>
      </c>
      <c r="K9" s="7" t="n">
        <v>1</v>
      </c>
      <c r="L9" s="8">
        <f>IF(COUNT(D9:K9)=0,"",SUMPRODUCT(D9:K9,$D$5:$K$5))</f>
        <v/>
      </c>
      <c r="M9" s="9" t="inlineStr">
        <is>
          <t>Vãos efetivos: lx e ly trocados. Pilares: carga ×6 (correto ×5); não soube a classificação dos pilares. Vigas: não soube a classificação.</t>
        </is>
      </c>
    </row>
    <row r="10">
      <c r="A10" s="6" t="inlineStr">
        <is>
          <t>202301291</t>
        </is>
      </c>
      <c r="B10" s="6" t="inlineStr">
        <is>
          <t>JOAO VITTOR DE FARIA PEREIRA</t>
        </is>
      </c>
      <c r="C10" s="6" t="inlineStr">
        <is>
          <t>G2</t>
        </is>
      </c>
      <c r="D10" s="7" t="n">
        <v>1</v>
      </c>
      <c r="E10" s="7" t="n">
        <v>1</v>
      </c>
      <c r="F10" s="7" t="n">
        <v>1</v>
      </c>
      <c r="G10" s="7" t="n">
        <v>0.5</v>
      </c>
      <c r="H10" s="7" t="n">
        <v>1</v>
      </c>
      <c r="I10" s="7" t="n">
        <v>0.5</v>
      </c>
      <c r="J10" s="7" t="n">
        <v>0</v>
      </c>
      <c r="K10" s="7" t="n">
        <v>1</v>
      </c>
      <c r="L10" s="8">
        <f>IF(COUNT(D10:K10)=0,"",SUMPRODUCT(D10:K10,$D$5:$K$5))</f>
        <v/>
      </c>
      <c r="M10" s="9" t="inlineStr">
        <is>
          <t>Vãos efetivos: lx e ly trocados. Pilares: carga ×6 (correto ×5); não soube a classificação dos pilares. Vigas: não soube a classificação.</t>
        </is>
      </c>
    </row>
    <row r="11">
      <c r="A11" s="6" t="inlineStr">
        <is>
          <t>202200234</t>
        </is>
      </c>
      <c r="B11" s="6" t="inlineStr">
        <is>
          <t>LIVYA CRISTINA PINHEIRO SILVA</t>
        </is>
      </c>
      <c r="C11" s="6" t="inlineStr">
        <is>
          <t>G3</t>
        </is>
      </c>
      <c r="D11" s="7" t="n">
        <v>1</v>
      </c>
      <c r="E11" s="7" t="n">
        <v>1</v>
      </c>
      <c r="F11" s="7" t="n">
        <v>1</v>
      </c>
      <c r="G11" s="7" t="n">
        <v>0.5</v>
      </c>
      <c r="H11" s="7" t="n">
        <v>1</v>
      </c>
      <c r="I11" s="7" t="n">
        <v>0.5</v>
      </c>
      <c r="J11" s="7" t="n">
        <v>1</v>
      </c>
      <c r="K11" s="7" t="n">
        <v>1</v>
      </c>
      <c r="L11" s="8">
        <f>IF(COUNT(D11:K11)=0,"",SUMPRODUCT(D11:K11,$D$5:$K$5))</f>
        <v/>
      </c>
      <c r="M11" s="9" t="inlineStr">
        <is>
          <t>Pilares: quantidade de pavimentos incorreta. Vigas: não soube responder o pré-dimensionamento.</t>
        </is>
      </c>
    </row>
    <row r="12">
      <c r="A12" s="6" t="inlineStr">
        <is>
          <t>202200226</t>
        </is>
      </c>
      <c r="B12" s="6" t="inlineStr">
        <is>
          <t>GUILHERME TONY AVELAR</t>
        </is>
      </c>
      <c r="C12" s="6" t="inlineStr">
        <is>
          <t>G3</t>
        </is>
      </c>
      <c r="D12" s="7" t="n">
        <v>1</v>
      </c>
      <c r="E12" s="7" t="n">
        <v>1</v>
      </c>
      <c r="F12" s="7" t="n">
        <v>1</v>
      </c>
      <c r="G12" s="7" t="n">
        <v>0.5</v>
      </c>
      <c r="H12" s="7" t="n">
        <v>1</v>
      </c>
      <c r="I12" s="7" t="n">
        <v>0.5</v>
      </c>
      <c r="J12" s="7" t="n">
        <v>1</v>
      </c>
      <c r="K12" s="7" t="n">
        <v>1</v>
      </c>
      <c r="L12" s="8">
        <f>IF(COUNT(D12:K12)=0,"",SUMPRODUCT(D12:K12,$D$5:$K$5))</f>
        <v/>
      </c>
      <c r="M12" s="9" t="inlineStr">
        <is>
          <t>Pilares: quantidade de pavimentos incorreta. Vigas: não soube responder o pré-dimensionamento.</t>
        </is>
      </c>
    </row>
    <row r="14" ht="32" customHeight="1">
      <c r="A14" s="10" t="inlineStr">
        <is>
          <t>Regra: 100% dos pontos quando atendido integralmente, 50% parcialmente, zero quando ausente, incorreto ou impossível de verificar. Falta de identificação completa zera o critério 'Identificação e organização'.</t>
        </is>
      </c>
    </row>
  </sheetData>
  <mergeCells count="1">
    <mergeCell ref="A14:M14"/>
  </mergeCells>
  <dataValidations count="1">
    <dataValidation sqref="D6 D7 D8 D9 D10 D11 D12 E6 E7 E8 E9 E10 E11 E12 F6 F7 F8 F9 F10 F11 F12 G6 G7 G8 G9 G10 G11 G12 H6 H7 H8 H9 H10 H11 H12 I6 I7 I8 I9 I10 I11 I12 J6 J7 J8 J9 J10 J11 J12 K6 K7 K8 K9 K10 K11 K12" showDropDown="0" showInputMessage="0" showErrorMessage="1" allowBlank="1" errorTitle="Valor inválido" error="Use 0%, 50% ou 100%." type="list">
      <formula1>"0%,50%,100%"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 customWidth="1" min="1" max="1"/>
    <col width="32" customWidth="1" min="2" max="2"/>
    <col width="95" customWidth="1" min="3" max="3"/>
  </cols>
  <sheetData>
    <row r="1">
      <c r="A1" s="11" t="inlineStr">
        <is>
          <t>Grupo</t>
        </is>
      </c>
      <c r="B1" s="11" t="inlineStr">
        <is>
          <t>Integrantes</t>
        </is>
      </c>
      <c r="C1" s="11" t="inlineStr">
        <is>
          <t>Comentários</t>
        </is>
      </c>
    </row>
    <row r="2">
      <c r="A2" s="12" t="inlineStr">
        <is>
          <t>G1</t>
        </is>
      </c>
      <c r="B2" s="12" t="inlineStr">
        <is>
          <t>Thieely, Gabriela</t>
        </is>
      </c>
      <c r="C2" s="12" t="inlineStr">
        <is>
          <t>• Apresentação dos cálculos: pelo menos um exemplo numérico no corpo do memorial.
• Carga do pavimento tipo multiplicada por 6; o correto é 5 (apenas 5 pavimentos-tipo). Recalcular.
• Desenho de cargas por pavimento incompleto: faltou a carga na superfície das vigas laterais.
• Tabelas em Excel devem vir com as fórmulas.
• Começar a montar a prancha de fôrma como no final da Aula 2, dentro de uma prancha organizada para a entrega final.
• Dificuldade em questões de carregamento e pré-dimensionamento de vigas.</t>
        </is>
      </c>
    </row>
    <row r="3">
      <c r="A3" s="12" t="inlineStr">
        <is>
          <t>G2</t>
        </is>
      </c>
      <c r="B3" s="12" t="inlineStr">
        <is>
          <t>Estefanie, José Neto, João Vittor</t>
        </is>
      </c>
      <c r="C3" s="12" t="inlineStr">
        <is>
          <t>• Carga do pavimento tipo multiplicada por 6; o correto é 5. Recalcular.
• Não soube explicar a classificação dos pilares nem a classificação das vigas.
• lx e ly trocados.
• Não soube explicar como o carregamento da laje foi detalhado.
• Cuidado com as representações de corte.</t>
        </is>
      </c>
    </row>
    <row r="4">
      <c r="A4" s="12" t="inlineStr">
        <is>
          <t>G3</t>
        </is>
      </c>
      <c r="B4" s="12" t="inlineStr">
        <is>
          <t>Livya, Guilherme</t>
        </is>
      </c>
      <c r="C4" s="12" t="inlineStr">
        <is>
          <t>• Quantidade de pavimentos calculada incorretamente.
• Dificuldade na questão de pré-dimensionamento das vigas.</t>
        </is>
      </c>
    </row>
    <row r="5">
      <c r="A5" s="12" t="inlineStr">
        <is>
          <t>Geral</t>
        </is>
      </c>
      <c r="B5" s="12" t="inlineStr">
        <is>
          <t>Todos</t>
        </is>
      </c>
      <c r="C5" s="12" t="inlineStr">
        <is>
          <t>• Colocar γn em todas as lajes e pilares.
• Critério de pré-dimensionamento das vigas será por 12.
• Medição da prancha e dimensões dos desenhos todas em cm.
• As distâncias dos painéis estavam erradas no enunciado; corrigir os vãos efetivos finais.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2026-10-26T02:39:44Z</dcterms:created>
  <dcterms:modified xsi:type="dcterms:W3CDTF">2026-10-26T02:43:06Z</dcterms:modified>
</cp:coreProperties>
</file>